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unitree_ros\robots\pico-humanoid\"/>
    </mc:Choice>
  </mc:AlternateContent>
  <bookViews>
    <workbookView windowWidth="16155" windowHeight="122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<sst xmlns="http://schemas.openxmlformats.org/spreadsheetml/2006/main" count="24" uniqueCount="22">
  <si>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PICO-Humanoid 预算</t>
  </si>
  <si>
    <t>序号</t>
  </si>
  <si>
    <t>名称</t>
  </si>
  <si>
    <t>类型</t>
  </si>
  <si>
    <t>单价</t>
  </si>
  <si>
    <t>数量</t>
  </si>
  <si>
    <t>小计</t>
  </si>
  <si>
    <t>合计</t>
  </si>
  <si>
    <t>RobStride 10P</t>
  </si>
  <si>
    <t>关节电机</t>
  </si>
  <si>
    <t>RobStride 00</t>
  </si>
  <si>
    <t>RSP-3000-48</t>
  </si>
  <si>
    <t>测试电源</t>
  </si>
  <si>
    <t>STM32F429ZGT6</t>
  </si>
  <si>
    <t>MCU开发板</t>
  </si>
  <si>
    <t>碳纤维板</t>
  </si>
  <si>
    <t>机械件</t>
  </si>
  <si>
    <t>其他部件</t>
  </si>
  <si>
    <t>Orin Nano SUPER 8GB</t>
  </si>
  <si>
    <t>机载计算机</t>
  </si>
  <si>
    <t>DCDC稳压（19V、3.3V）</t>
  </si>
  <si>
    <t>稳压电源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</si>
</sst>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7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0"/>
  <sheetViews>
    <sheetView tabSelected="1" workbookViewId="0">
      <selection activeCell="C5" sqref="C5"/>
    </sheetView>
  </sheetViews>
  <sheetFormatPr defaultColWidth="9" defaultRowHeight="13.5" outlineLevelCol="6"/>
  <cols>
    <col min="1" max="1" width="9" style="1"/>
    <col min="2" max="2" width="26.75" style="1" customWidth="1"/>
    <col min="3" max="3" width="16.25" style="1" customWidth="1"/>
    <col min="4" max="4" width="14.5" style="2" customWidth="1"/>
    <col min="5" max="5" width="9" style="1"/>
    <col min="6" max="6" width="13.875" style="2" customWidth="1"/>
    <col min="7" max="7" width="18.25" style="2" customWidth="1"/>
    <col min="8" max="16384" width="9" style="1"/>
  </cols>
  <sheetData>
    <row r="1" spans="1:7">
      <c r="A1" s="1" t="s">
        <v>0</v>
      </c>
    </row>
    <row r="2" spans="1:7">
      <c r="A2" s="1" t="s">
        <v>1</v>
      </c>
      <c r="B2" s="1" t="s">
        <v>2</v>
      </c>
      <c r="C2" s="1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>
      <c r="B3" s="1" t="s">
        <v>8</v>
      </c>
      <c r="C3" s="1" t="s">
        <v>9</v>
      </c>
      <c r="D3" s="2">
        <v>859</v>
      </c>
      <c r="E3" s="1">
        <v>8</v>
      </c>
      <c r="F3" s="2">
        <f>D3*E3</f>
        <v>6872</v>
      </c>
      <c r="G3" s="2">
        <f>SUM(F:F)</f>
        <v>19224</v>
      </c>
    </row>
    <row r="4" spans="1:7">
      <c r="B4" s="1" t="s">
        <v>10</v>
      </c>
      <c r="C4" s="1" t="s">
        <v>9</v>
      </c>
      <c r="D4" s="2">
        <v>598</v>
      </c>
      <c r="E4" s="1">
        <v>4</v>
      </c>
      <c r="F4" s="2">
        <f>D4*E4</f>
        <v>2392</v>
      </c>
    </row>
    <row r="5" spans="1:7">
      <c r="B5" s="1" t="s">
        <v>11</v>
      </c>
      <c r="C5" s="1" t="s">
        <v>12</v>
      </c>
      <c r="D5" s="2">
        <v>2870</v>
      </c>
      <c r="E5" s="1">
        <v>1</v>
      </c>
      <c r="F5" s="2">
        <f>D5*E5</f>
        <v>2870</v>
      </c>
    </row>
    <row r="6" spans="1:7">
      <c r="B6" s="1" t="s">
        <v>13</v>
      </c>
      <c r="C6" s="1" t="s">
        <v>14</v>
      </c>
      <c r="D6" s="2">
        <v>261</v>
      </c>
      <c r="E6" s="1">
        <v>1</v>
      </c>
      <c r="F6" s="2">
        <f>D6*E6</f>
        <v>261</v>
      </c>
    </row>
    <row r="7" spans="1:7">
      <c r="B7" s="1" t="s">
        <v>15</v>
      </c>
      <c r="C7" s="1" t="s">
        <v>16</v>
      </c>
      <c r="D7" s="2">
        <v>2000</v>
      </c>
      <c r="E7" s="1">
        <v>1</v>
      </c>
      <c r="F7" s="2">
        <f>D7*E7</f>
        <v>2000</v>
      </c>
    </row>
    <row r="8" spans="1:7">
      <c r="B8" s="1" t="s">
        <v>17</v>
      </c>
      <c r="C8" s="1" t="s">
        <v>16</v>
      </c>
      <c r="D8" s="2">
        <v>500</v>
      </c>
      <c r="E8" s="1">
        <v>1</v>
      </c>
      <c r="F8" s="2">
        <f>D8*E8</f>
        <v>500</v>
      </c>
    </row>
    <row r="9" spans="1:7">
      <c r="B9" s="1" t="s">
        <v>18</v>
      </c>
      <c r="C9" s="1" t="s">
        <v>19</v>
      </c>
      <c r="D9" s="2">
        <v>4129</v>
      </c>
      <c r="E9" s="1">
        <v>1</v>
      </c>
      <c r="F9" s="2">
        <f>D9*E9</f>
        <v>4129</v>
      </c>
    </row>
    <row r="10" spans="1:7">
      <c r="B10" s="1" t="s">
        <v>20</v>
      </c>
      <c r="C10" s="1" t="s">
        <v>21</v>
      </c>
      <c r="D10" s="2">
        <v>100</v>
      </c>
      <c r="E10" s="1">
        <v>2</v>
      </c>
      <c r="F10" s="2">
        <f>D10*E10</f>
        <v>200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BIT_robot</dc:creator>
  <cp:lastModifiedBy>迷猴逃</cp:lastModifiedBy>
  <dcterms:created xsi:type="dcterms:W3CDTF">2023-05-12T11:15:00Z</dcterms:created>
  <dcterms:modified xsi:type="dcterms:W3CDTF">2026-10-04T14:00:47Z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87822941306B4501A6789E809B0CE8B2_12</vt:lpwstr>
  </property>
  <property fmtid="{D5CDD505-2E9C-101B-9397-08002B2CF9AE}" pid="4" name="CalculationRule">
    <vt:i4>0</vt:i4>
  </property>
</Properties>
</file>